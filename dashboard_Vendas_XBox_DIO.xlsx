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oshi\Downloads\"/>
    </mc:Choice>
  </mc:AlternateContent>
  <xr:revisionPtr revIDLastSave="0" documentId="13_ncr:1_{FBADB97F-C998-40E4-98F1-B6CC27F7853D}" xr6:coauthVersionLast="47" xr6:coauthVersionMax="47" xr10:uidLastSave="{00000000-0000-0000-0000-000000000000}"/>
  <bookViews>
    <workbookView xWindow="19090" yWindow="-110" windowWidth="19420" windowHeight="1030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" i="3" l="1"/>
  <c r="E25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<sst xmlns="http://schemas.openxmlformats.org/spreadsheetml/2006/main" count="2023" uniqueCount="325">
  <si>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</si>
  <si>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</si>
  <si>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</si>
  <si>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</si>
  <si>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</si>
  <si>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</si>
  <si>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</si>
  <si>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</si>
  <si>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</si>
  <si>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</si>
  <si>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</si>
  <si>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</si>
  <si>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</si>
  <si>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</si>
  <si>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</si>
  <si>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</si>
  <si>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</si>
  <si>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</si>
  <si>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</si>
  <si>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</si>
  <si>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</si>
  <si>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</si>
  <si>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</si>
  <si>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</si>
  <si>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</si>
  <si>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</si>
  <si>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</si>
  <si>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</si>
  <si>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</si>
  <si>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</si>
  <si>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</si>
  <si>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</si>
  <si>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</si>
  <si>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</si>
  <si>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</si>
  <si>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</si>
  <si>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</si>
  <si>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</si>
  <si>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</si>
  <si>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</si>
  <si>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</si>
  <si>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</si>
  <si>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</si>
  <si>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</si>
  <si>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</si>
  <si>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</si>
  <si>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</si>
  <si>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</si>
  <si>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</si>
  <si>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</si>
  <si>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</si>
  <si>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</si>
  <si>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</si>
  <si>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</si>
  <si>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</si>
  <si>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</si>
  <si>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</si>
  <si>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</si>
  <si>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</si>
  <si>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</si>
  <si>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</si>
  <si>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</si>
  <si>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</si>
  <si>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</si>
  <si>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</si>
  <si>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</si>
  <si>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</si>
  <si>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</si>
  <si>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</si>
  <si>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</si>
  <si>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</si>
  <si>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</si>
  <si>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</si>
  <si>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</si>
  <si>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</si>
  <si>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</si>
  <si>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</si>
  <si>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</si>
  <si>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</si>
  <si>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</si>
  <si>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</si>
  <si>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</si>
  <si>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</si>
  <si>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</si>
  <si>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</si>
  <si>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</si>
  <si>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</si>
  <si>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</si>
  <si>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</si>
  <si>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</si>
  <si>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</si>
  <si>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</si>
  <si>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</si>
  <si>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</si>
  <si>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</si>
  <si>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</si>
  <si>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</si>
  <si>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</si>
  <si>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</si>
  <si>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</si>
  <si>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</si>
  <si>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</si>
  <si>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</si>
  <si>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</si>
  <si>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</si>
  <si>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</si>
  <si>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</si>
  <si>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</si>
  <si>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</si>
  <si>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</si>
  <si>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</si>
  <si>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</si>
  <si>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</si>
  <si>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</si>
  <si>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</si>
  <si>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</si>
  <si>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</si>
  <si>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</si>
  <si>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</si>
  <si>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</si>
  <si>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</si>
  <si>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</si>
  <si>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</si>
  <si>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</si>
  <si>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</si>
  <si>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</si>
  <si>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</si>
  <si>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</si>
  <si>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</si>
  <si>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</si>
  <si>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</si>
  <si>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</si>
  <si>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</si>
  <si>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</si>
  <si>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</si>
  <si>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</si>
  <si>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</si>
  <si>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</si>
  <si>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</si>
  <si>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</si>
  <si>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</si>
  <si>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</si>
  <si>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</si>
  <si>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</si>
  <si>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</si>
  <si>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</si>
  <si>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</si>
  <si>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</si>
  <si>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</si>
  <si>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</si>
  <si>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</si>
  <si>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</si>
  <si>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</si>
  <si>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</si>
  <si>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</si>
  <si>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</si>
  <si>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</si>
  <si>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</si>
  <si>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</si>
  <si>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</si>
  <si>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</si>
  <si>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</si>
  <si>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</si>
  <si>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</si>
  <si>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</si>
  <si>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</si>
  <si>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</si>
  <si>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</si>
  <si>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</si>
  <si>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</si>
  <si>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</si>
  <si>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</si>
  <si>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</si>
  <si>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</si>
  <si>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</si>
  <si>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</si>
  <si>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</si>
  <si>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</si>
  <si>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</si>
  <si>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</si>
  <si>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</si>
  <si>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</si>
  <si>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</si>
  <si>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</si>
  <si>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</si>
  <si>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</si>
  <si>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</si>
  <si>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</si>
  <si>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</si>
  <si>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</si>
  <si>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</si>
  <si>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</si>
  <si>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</si>
  <si>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</si>
  <si>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</si>
  <si>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</si>
  <si>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</si>
  <si>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</si>
  <si>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</si>
  <si>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</si>
  <si>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</si>
  <si>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</si>
  <si>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</si>
  <si>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</si>
  <si>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</si>
  <si>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</si>
  <si>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</si>
  <si>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</si>
  <si>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</si>
  <si>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</si>
  <si>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</si>
  <si>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</si>
  <si>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</si>
  <si>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</si>
  <si>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</si>
  <si>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</si>
  <si>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</si>
  <si>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</si>
  <si>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</si>
  <si>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</si>
  <si>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</si>
  <si>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</si>
  <si>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</si>
  <si>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</si>
  <si>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</si>
  <si>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</si>
  <si>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</si>
  <si>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</si>
  <si>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</si>
  <si>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</si>
  <si>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</si>
  <si>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</si>
  <si>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</si>
  <si>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</si>
  <si>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</si>
  <si>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</si>
  <si>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</si>
  <si>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</si>
  <si>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</si>
  <si>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</si>
  <si>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</si>
  <si>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</si>
  <si>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</si>
  <si>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</si>
  <si>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</si>
  <si>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</si>
  <si>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</si>
  <si>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</si>
  <si>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</si>
  <si>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</si>
  <si>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</si>
  <si>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</si>
  <si>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</si>
  <si>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</si>
  <si>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</si>
  <si>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</si>
  <si>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</si>
  <si>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</si>
  <si>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</si>
  <si>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</si>
  <si>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</si>
  <si>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</si>
  <si>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</si>
  <si>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</si>
  <si>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</si>
  <si>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</si>
  <si>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</si>
  <si>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</si>
  <si>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</si>
  <si>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</si>
  <si>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</si>
  <si>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</si>
  <si>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</si>
  <si>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</si>
  <si>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</si>
  <si>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</si>
  <si>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</si>
  <si>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</si>
  <si>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</si>
  <si>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</si>
  <si>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</si>
  <si>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</si>
  <si>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</si>
  <si>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</si>
  <si>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</si>
  <si>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</si>
  <si>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</si>
  <si>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</si>
  <si>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</si>
  <si>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</si>
  <si>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</si>
  <si>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</si>
  <si>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</si>
  <si>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</si>
  <si>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</si>
  <si>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</si>
  <si>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</si>
  <si>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</si>
  <si>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</si>
  <si>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</si>
  <si>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</si>
  <si>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</si>
  <si>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</si>
  <si>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</si>
  <si>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</si>
  <si>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</si>
  <si>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</si>
  <si>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</si>
  <si>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</si>
  <si>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</si>
  <si>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</si>
  <si>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</si>
  <si>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</si>
  <si>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</si>
  <si>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</si>
  <si>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</si>
  <si>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 1 - Qual faturamento Total de Vendas de planos anuais (contendo todas as assinaturas agregadas)</t>
  </si>
  <si>
    <t>Pergunta de negócio 2 - Qual faturamento Total de Vendas de planos anuais, separado por auto renovação não é por auto renovação</t>
  </si>
  <si>
    <t>É uma pergunta de negócio respondida atarvés de alguma análise de dado específica</t>
  </si>
  <si>
    <t>XBOX GAME PASS SUBSCRIPTIONS SALES</t>
  </si>
  <si>
    <t>Pergunta de negócio 3 - Total de vendas de Assinaturas do EA Play</t>
  </si>
  <si>
    <t>Soma de EA Play Season Pass</t>
  </si>
  <si>
    <t>Pergunta de negócio 4 - Total de vendas de Assinaturas do Minecraft Season Pass</t>
  </si>
  <si>
    <t>Soma de Minecraft Season Pass Price</t>
  </si>
  <si>
    <t>Calculation period: 01/01/2026 - 31/12/2026 | Update date: 25/06/2026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</si>
</sst>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rgb="FF22C55E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8" borderId="0" xfId="0" applyFill="1"/>
    <xf numFmtId="0" fontId="4" fillId="0" borderId="2" xfId="1" applyFont="1" applyBorder="1"/>
    <xf numFmtId="0" fontId="5" fillId="7" borderId="0" xfId="0" applyFont="1" applyFill="1"/>
    <xf numFmtId="0" fontId="5" fillId="4" borderId="0" xfId="0" applyFont="1" applyFill="1"/>
    <xf numFmtId="0" fontId="4" fillId="0" borderId="2" xfId="1" applyFont="1" applyBorder="1" applyAlignment="1">
      <alignment horizontal="left" indent="5"/>
    </xf>
    <xf numFmtId="0" fontId="6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40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83DC169B-F77C-470E-BF91-21DD5B0F60F9}">
      <tableStyleElement type="wholeTable" dxfId="39"/>
      <tableStyleElement type="headerRow" dxfId="38"/>
    </tableStyle>
  </tableStyles>
  <colors>
    <mruColors>
      <color rgb="FF22C55E"/>
      <color rgb="FF00D25F"/>
      <color rgb="FF08F6B2"/>
      <color rgb="FF00FFCC"/>
      <color rgb="FF2AE6B1"/>
      <color rgb="FFFFFFFF"/>
      <color rgb="FF5BF6A8"/>
      <color rgb="FFE8E6E9"/>
      <color rgb="FF000000"/>
      <color rgb="FFE0E0E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rgb="FF2AE6B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558742858982925E-2"/>
          <c:y val="1.2044140581206801E-2"/>
          <c:w val="0.89581351272729559"/>
          <c:h val="0.959892969329399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F-4747-8AD0-1D59082E3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axId val="453085712"/>
        <c:axId val="453076560"/>
      </c:barChart>
      <c:catAx>
        <c:axId val="45308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076560"/>
        <c:crosses val="autoZero"/>
        <c:auto val="1"/>
        <c:lblAlgn val="ctr"/>
        <c:lblOffset val="100"/>
        <c:noMultiLvlLbl val="0"/>
      </c:catAx>
      <c:valAx>
        <c:axId val="453076560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45308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3</xdr:col>
      <xdr:colOff>579120</xdr:colOff>
      <xdr:row>22</xdr:row>
      <xdr:rowOff>120650</xdr:rowOff>
    </xdr:from>
    <xdr:to>
      <xdr:col>6</xdr:col>
      <xdr:colOff>293446</xdr:colOff>
      <xdr:row>26</xdr:row>
      <xdr:rowOff>111126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2B5C23B3-73AC-4B81-89ED-C09720FA0892}"/>
            </a:ext>
          </a:extLst>
        </xdr:cNvPr>
        <xdr:cNvGrpSpPr/>
      </xdr:nvGrpSpPr>
      <xdr:grpSpPr>
        <a:xfrm>
          <a:off x="2597150" y="4196080"/>
          <a:ext cx="1736166" cy="702946"/>
          <a:chOff x="3495675" y="5400674"/>
          <a:chExt cx="1549476" cy="752476"/>
        </a:xfrm>
      </xdr:grpSpPr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7D74A298-2D65-4E54-BD10-F0FC84E887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8" name="Gráfico 17">
            <a:extLst>
              <a:ext uri="{FF2B5EF4-FFF2-40B4-BE49-F238E27FC236}">
                <a16:creationId xmlns:a16="http://schemas.microsoft.com/office/drawing/2014/main" id="{766B38AA-1CBC-48F0-9F51-20000D7FDD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1863726</xdr:colOff>
      <xdr:row>0</xdr:row>
      <xdr:rowOff>79377</xdr:rowOff>
    </xdr:from>
    <xdr:to>
      <xdr:col>2</xdr:col>
      <xdr:colOff>383540</xdr:colOff>
      <xdr:row>3</xdr:row>
      <xdr:rowOff>45088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558D41B-5DDB-45AE-A965-2E7ACE1F8A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4" t="17180" r="73257" b="17754"/>
        <a:stretch/>
      </xdr:blipFill>
      <xdr:spPr>
        <a:xfrm>
          <a:off x="1857376" y="81917"/>
          <a:ext cx="705802" cy="662624"/>
        </a:xfrm>
        <a:prstGeom prst="rect">
          <a:avLst/>
        </a:prstGeom>
      </xdr:spPr>
    </xdr:pic>
    <xdr:clientData/>
  </xdr:twoCellAnchor>
  <xdr:twoCellAnchor>
    <xdr:from>
      <xdr:col>1</xdr:col>
      <xdr:colOff>155574</xdr:colOff>
      <xdr:row>12</xdr:row>
      <xdr:rowOff>33973</xdr:rowOff>
    </xdr:from>
    <xdr:to>
      <xdr:col>16</xdr:col>
      <xdr:colOff>452120</xdr:colOff>
      <xdr:row>35</xdr:row>
      <xdr:rowOff>34290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FEBB7A35-85DC-49AC-85A6-C3BD7FCB33FD}"/>
            </a:ext>
          </a:extLst>
        </xdr:cNvPr>
        <xdr:cNvGrpSpPr/>
      </xdr:nvGrpSpPr>
      <xdr:grpSpPr>
        <a:xfrm>
          <a:off x="2052637" y="2559368"/>
          <a:ext cx="9838691" cy="4015422"/>
          <a:chOff x="1681797" y="1124266"/>
          <a:chExt cx="6337618" cy="3470593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D5E0B3E0-314C-4EDE-91F8-2D4E1A3AB29C}"/>
              </a:ext>
            </a:extLst>
          </xdr:cNvPr>
          <xdr:cNvSpPr/>
        </xdr:nvSpPr>
        <xdr:spPr>
          <a:xfrm>
            <a:off x="1681797" y="1124266"/>
            <a:ext cx="6337618" cy="347059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09220F9E-EB3B-45CE-B6B7-084BE7D7D604}"/>
              </a:ext>
            </a:extLst>
          </xdr:cNvPr>
          <xdr:cNvGraphicFramePr>
            <a:graphicFrameLocks/>
          </xdr:cNvGraphicFramePr>
        </xdr:nvGraphicFramePr>
        <xdr:xfrm>
          <a:off x="1908843" y="1630960"/>
          <a:ext cx="5667452" cy="28448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35559</xdr:colOff>
      <xdr:row>4</xdr:row>
      <xdr:rowOff>176529</xdr:rowOff>
    </xdr:from>
    <xdr:to>
      <xdr:col>0</xdr:col>
      <xdr:colOff>1863725</xdr:colOff>
      <xdr:row>13</xdr:row>
      <xdr:rowOff>3175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D71E98B0-21E2-42AF-88C8-AC19409724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" y="1064895"/>
              <a:ext cx="1455420" cy="25136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142241</xdr:colOff>
      <xdr:row>5</xdr:row>
      <xdr:rowOff>71437</xdr:rowOff>
    </xdr:from>
    <xdr:to>
      <xdr:col>8</xdr:col>
      <xdr:colOff>635001</xdr:colOff>
      <xdr:row>11</xdr:row>
      <xdr:rowOff>122698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259F965C-F0E9-474B-9785-E9FE00D9F716}"/>
            </a:ext>
          </a:extLst>
        </xdr:cNvPr>
        <xdr:cNvGrpSpPr/>
      </xdr:nvGrpSpPr>
      <xdr:grpSpPr>
        <a:xfrm>
          <a:off x="2040574" y="1191895"/>
          <a:ext cx="4812030" cy="1279033"/>
          <a:chOff x="1664970" y="1062355"/>
          <a:chExt cx="5121911" cy="1157113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18F73340-EECC-419E-8108-A826B7C891C0}"/>
              </a:ext>
            </a:extLst>
          </xdr:cNvPr>
          <xdr:cNvSpPr/>
        </xdr:nvSpPr>
        <xdr:spPr>
          <a:xfrm>
            <a:off x="1664970" y="1102996"/>
            <a:ext cx="5121911" cy="89217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A68AD4C9-3B6A-4CCB-BD38-22362AE4F207}"/>
              </a:ext>
            </a:extLst>
          </xdr:cNvPr>
          <xdr:cNvSpPr/>
        </xdr:nvSpPr>
        <xdr:spPr>
          <a:xfrm>
            <a:off x="3794125" y="1366334"/>
            <a:ext cx="2190433" cy="60208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40CD39B1-E5DD-47A2-9E92-AACC507BFF87}" type="TxLink">
              <a:rPr lang="en-US" sz="24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R$ 990,00</a:t>
            </a:fld>
            <a:endParaRPr lang="pt-BR" sz="2400" b="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036F21CB-72D2-40DF-AEF1-9073305850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37421" y="1206500"/>
            <a:ext cx="1209055" cy="1012968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6AF1157A-544A-4D41-A437-1C52E269FAED}"/>
              </a:ext>
            </a:extLst>
          </xdr:cNvPr>
          <xdr:cNvSpPr/>
        </xdr:nvSpPr>
        <xdr:spPr>
          <a:xfrm>
            <a:off x="1668145" y="1062355"/>
            <a:ext cx="5111750" cy="33909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SEASONS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199708</xdr:colOff>
      <xdr:row>5</xdr:row>
      <xdr:rowOff>63500</xdr:rowOff>
    </xdr:from>
    <xdr:to>
      <xdr:col>16</xdr:col>
      <xdr:colOff>449899</xdr:colOff>
      <xdr:row>10</xdr:row>
      <xdr:rowOff>64065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1D530D49-3FFA-4C17-BD22-91C968AF1BAE}"/>
            </a:ext>
          </a:extLst>
        </xdr:cNvPr>
        <xdr:cNvGrpSpPr/>
      </xdr:nvGrpSpPr>
      <xdr:grpSpPr>
        <a:xfrm>
          <a:off x="7088188" y="1185228"/>
          <a:ext cx="4800919" cy="1056252"/>
          <a:chOff x="1664970" y="1062355"/>
          <a:chExt cx="5121911" cy="932816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13655BA8-FCF6-4DBD-AE78-C113D942AF93}"/>
              </a:ext>
            </a:extLst>
          </xdr:cNvPr>
          <xdr:cNvSpPr/>
        </xdr:nvSpPr>
        <xdr:spPr>
          <a:xfrm>
            <a:off x="1664970" y="1102996"/>
            <a:ext cx="5121911" cy="89217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7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C82BFABE-388B-4799-9872-4E0BB7305749}"/>
              </a:ext>
            </a:extLst>
          </xdr:cNvPr>
          <xdr:cNvSpPr/>
        </xdr:nvSpPr>
        <xdr:spPr>
          <a:xfrm>
            <a:off x="3794125" y="1366334"/>
            <a:ext cx="2190433" cy="60208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7BB53E20-5CBD-4982-A664-8370E37479EE}" type="TxLink">
              <a:rPr lang="en-US" sz="2400" b="0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R$ 1.140,00</a:t>
            </a:fld>
            <a:endParaRPr lang="pt-BR" sz="2400" b="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3718792C-2578-403E-B0D7-EE425900F326}"/>
              </a:ext>
            </a:extLst>
          </xdr:cNvPr>
          <xdr:cNvSpPr/>
        </xdr:nvSpPr>
        <xdr:spPr>
          <a:xfrm>
            <a:off x="1668145" y="1062355"/>
            <a:ext cx="5111750" cy="33909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SEASONS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9</xdr:col>
      <xdr:colOff>269875</xdr:colOff>
      <xdr:row>6</xdr:row>
      <xdr:rowOff>63183</xdr:rowOff>
    </xdr:from>
    <xdr:to>
      <xdr:col>10</xdr:col>
      <xdr:colOff>496646</xdr:colOff>
      <xdr:row>8</xdr:row>
      <xdr:rowOff>318452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A6D86AA9-EFD9-464F-B01C-ADAA09801A8F}"/>
            </a:ext>
          </a:extLst>
        </xdr:cNvPr>
        <xdr:cNvGrpSpPr/>
      </xdr:nvGrpSpPr>
      <xdr:grpSpPr>
        <a:xfrm>
          <a:off x="7159625" y="1396683"/>
          <a:ext cx="901459" cy="501332"/>
          <a:chOff x="3495675" y="5400674"/>
          <a:chExt cx="1549476" cy="752476"/>
        </a:xfrm>
      </xdr:grpSpPr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2F8D6768-D415-4DE5-BFEA-CBC9AC4FB8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1" name="Gráfico 20">
            <a:extLst>
              <a:ext uri="{FF2B5EF4-FFF2-40B4-BE49-F238E27FC236}">
                <a16:creationId xmlns:a16="http://schemas.microsoft.com/office/drawing/2014/main" id="{28E7D22A-1889-4708-8AE6-2F814907EF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166688</xdr:colOff>
      <xdr:row>12</xdr:row>
      <xdr:rowOff>29845</xdr:rowOff>
    </xdr:from>
    <xdr:to>
      <xdr:col>16</xdr:col>
      <xdr:colOff>448309</xdr:colOff>
      <xdr:row>15</xdr:row>
      <xdr:rowOff>317</xdr:rowOff>
    </xdr:to>
    <xdr:sp macro="" textlink="">
      <xdr:nvSpPr>
        <xdr:cNvPr id="22" name="Retângulo: Cantos Superiores Arredondados 21">
          <a:extLst>
            <a:ext uri="{FF2B5EF4-FFF2-40B4-BE49-F238E27FC236}">
              <a16:creationId xmlns:a16="http://schemas.microsoft.com/office/drawing/2014/main" id="{6EBC7EEA-71D6-4D16-B317-51FB4A0BE15C}"/>
            </a:ext>
          </a:extLst>
        </xdr:cNvPr>
        <xdr:cNvSpPr/>
      </xdr:nvSpPr>
      <xdr:spPr>
        <a:xfrm>
          <a:off x="1690688" y="2299970"/>
          <a:ext cx="9822496" cy="494347"/>
        </a:xfrm>
        <a:prstGeom prst="round2SameRect">
          <a:avLst>
            <a:gd name="adj1" fmla="val 50000"/>
            <a:gd name="adj2" fmla="val 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600" b="1" baseline="0">
              <a:latin typeface="Segoe UI" panose="020B0502040204020203" pitchFamily="34" charset="0"/>
              <a:cs typeface="Segoe UI" panose="020B0502040204020203" pitchFamily="34" charset="0"/>
            </a:rPr>
            <a:t> SUBSCRIPTIONS XBOX GAME PASS</a:t>
          </a:r>
          <a:endParaRPr lang="pt-BR" sz="16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345440</xdr:colOff>
      <xdr:row>0</xdr:row>
      <xdr:rowOff>72390</xdr:rowOff>
    </xdr:from>
    <xdr:to>
      <xdr:col>0</xdr:col>
      <xdr:colOff>1108075</xdr:colOff>
      <xdr:row>3</xdr:row>
      <xdr:rowOff>7937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C2B7F0B1-F3AE-44F4-9535-60650F5BF06E}"/>
            </a:ext>
          </a:extLst>
        </xdr:cNvPr>
        <xdr:cNvSpPr/>
      </xdr:nvSpPr>
      <xdr:spPr>
        <a:xfrm>
          <a:off x="349250" y="63500"/>
          <a:ext cx="758825" cy="64135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72708</xdr:colOff>
      <xdr:row>2</xdr:row>
      <xdr:rowOff>194946</xdr:rowOff>
    </xdr:from>
    <xdr:to>
      <xdr:col>1</xdr:col>
      <xdr:colOff>55562</xdr:colOff>
      <xdr:row>5</xdr:row>
      <xdr:rowOff>47625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77455A29-8F43-466C-B488-33D9A75FC770}"/>
            </a:ext>
          </a:extLst>
        </xdr:cNvPr>
        <xdr:cNvSpPr/>
      </xdr:nvSpPr>
      <xdr:spPr>
        <a:xfrm>
          <a:off x="72708" y="742634"/>
          <a:ext cx="1816417" cy="29717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Seja bem-vinda,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Melissa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shiro Yamaguti" refreshedDate="46220.48108229167" createdVersion="7" refreshedVersion="7" minRefreshableVersion="3" recordCount="296" xr:uid="{C7FBC813-A935-4460-BACB-50EAD43182C2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 count="281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  <m/>
      </sharedItems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230214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  <r>
    <m/>
    <x v="280"/>
    <x v="3"/>
    <m/>
    <x v="2"/>
    <m/>
    <x v="3"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DF52A-CD39-4B6A-9276-DFB78941CB3A}" name="tbl_an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10:C13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h="1" x="1"/>
        <item h="1"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2">
    <format dxfId="19">
      <pivotArea outline="0" collapsedLevelsAreSubtotals="1" fieldPosition="0"/>
    </format>
    <format dxfId="1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B90A4-C8FA-43BA-9D23-5E2BC77FCD1F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32:C36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h="1" x="1"/>
        <item h="1" x="0"/>
        <item x="2"/>
        <item h="1"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2">
    <format dxfId="21">
      <pivotArea outline="0" collapsedLevelsAreSubtotals="1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D7D6F-37BB-42D2-BBBA-59DC5F0E507D}" name="tbl_ea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21:C25" firstHeaderRow="1" firstDataRow="1" firstDataCol="1" rowPageCount="1" colPageCount="1"/>
  <pivotFields count="13">
    <pivotField showAll="0"/>
    <pivotField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h="1" x="1"/>
        <item h="1" x="0"/>
        <item x="2"/>
        <item h="1" x="3"/>
        <item t="default"/>
      </items>
    </pivotField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2">
    <format dxfId="23">
      <pivotArea outline="0" collapsedLevelsAreSubtotals="1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0C004F9-2993-4D98-92A1-5C90B4C9C6A5}" sourceName="Subscription Type">
  <pivotTables>
    <pivotTable tabId="3" name="tbl_annual_total"/>
    <pivotTable tabId="3" name="tbl_easeasonpass_total"/>
    <pivotTable tabId="3" name="Tabela dinâmica2"/>
  </pivotTables>
  <data>
    <tabular pivotCacheId="1023021488">
      <items count="4">
        <i x="1"/>
        <i x="0"/>
        <i x="2" s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65AA772-1B44-411B-A833-AC9AF3F3A4DB}" cache="SegmentaçãodeDados_Subscription_Type" caption="Subscription Type" style="SlicerStyleLight6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36"/>
    <tableColumn id="2" xr3:uid="{53DD39D0-2220-4121-9E9D-4EAA7E151C0F}" name="Name" dataDxfId="35"/>
    <tableColumn id="3" xr3:uid="{4F5FF271-4C57-4BE0-8F2C-F82C8551625C}" name="Plan" dataDxfId="34"/>
    <tableColumn id="4" xr3:uid="{8C17EB93-79B9-4E55-B8F7-BEB82F8253E9}" name="Start Date" dataDxfId="33"/>
    <tableColumn id="5" xr3:uid="{48CEDF9B-1689-482A-A828-5CCE7713264A}" name="Auto Renewal" dataDxfId="32"/>
    <tableColumn id="6" xr3:uid="{78B82374-9AA7-4E38-AE4F-78CDE6C83720}" name="Subscription Price" dataDxfId="31" dataCellStyle="Moeda"/>
    <tableColumn id="7" xr3:uid="{F2433F68-AF33-49D0-B1FB-19A396074EDE}" name="Subscription Type" dataDxfId="30"/>
    <tableColumn id="8" xr3:uid="{FD4D9C95-F6E5-4933-9068-A71FF7DF9343}" name="EA Play Season Pass" dataDxfId="29"/>
    <tableColumn id="13" xr3:uid="{978DD0D2-834E-4CE4-A39B-30976086932F}" name="EA Play Season Pass_x000a_Price" dataDxfId="28" dataCellStyle="Moeda"/>
    <tableColumn id="9" xr3:uid="{6E29F111-C395-4580-9DAD-3407D9E8B1A4}" name="Minecraft Season Pass" dataDxfId="27"/>
    <tableColumn id="10" xr3:uid="{EF544EAA-7F25-4FD5-A10E-8E62804DB9E3}" name="Minecraft Season Pass Price" dataDxfId="26" dataCellStyle="Moeda"/>
    <tableColumn id="11" xr3:uid="{7F6EB64A-1F07-4E48-9F0F-AC7D9DCD26F8}" name="Coupon Value" dataDxfId="25" dataCellStyle="Moeda"/>
    <tableColumn id="12" xr3:uid="{2B04ABC8-DE6F-426E-ADC0-D8AFC68CA58E}" name="Total Value" dataDxfId="2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" zoomScaleNormal="100" workbookViewId="0">
      <selection activeCell="B7" sqref="B7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E1" zoomScale="90" zoomScaleNormal="90" workbookViewId="0">
      <selection activeCell="A294" sqref="A1:M294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27.6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584"/>
  <sheetViews>
    <sheetView showGridLines="0" topLeftCell="A19" workbookViewId="0">
      <selection activeCell="F32" sqref="F32"/>
    </sheetView>
  </sheetViews>
  <sheetFormatPr defaultRowHeight="13.8"/>
  <cols>
    <col min="2" max="2" width="17.69921875" bestFit="1" customWidth="1"/>
    <col min="3" max="3" width="34.5" style="14" bestFit="1" customWidth="1"/>
    <col min="4" max="4" width="30.59765625" bestFit="1" customWidth="1"/>
    <col min="5" max="5" width="11.59765625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2" spans="2:3">
      <c r="B2" t="s">
        <v>318</v>
      </c>
    </row>
    <row r="4" spans="2:3">
      <c r="B4" t="s">
        <v>316</v>
      </c>
    </row>
    <row r="5" spans="2:3">
      <c r="B5" t="s">
        <v>317</v>
      </c>
    </row>
    <row r="8" spans="2:3">
      <c r="B8" s="12" t="s">
        <v>16</v>
      </c>
      <c r="C8" t="s">
        <v>27</v>
      </c>
    </row>
    <row r="10" spans="2:3">
      <c r="B10" s="12" t="s">
        <v>313</v>
      </c>
      <c r="C10" s="14" t="s">
        <v>315</v>
      </c>
    </row>
    <row r="11" spans="2:3">
      <c r="B11" s="13" t="s">
        <v>23</v>
      </c>
      <c r="C11" s="14">
        <v>806</v>
      </c>
    </row>
    <row r="12" spans="2:3">
      <c r="B12" s="13" t="s">
        <v>19</v>
      </c>
      <c r="C12" s="14">
        <v>1502</v>
      </c>
    </row>
    <row r="13" spans="2:3">
      <c r="B13" s="13" t="s">
        <v>314</v>
      </c>
      <c r="C13" s="14">
        <v>2308</v>
      </c>
    </row>
    <row r="14" spans="2:3">
      <c r="C14"/>
    </row>
    <row r="15" spans="2:3">
      <c r="C15"/>
    </row>
    <row r="16" spans="2:3">
      <c r="C16"/>
    </row>
    <row r="17" spans="2:5">
      <c r="B17" t="s">
        <v>320</v>
      </c>
      <c r="C17"/>
    </row>
    <row r="18" spans="2:5">
      <c r="C18"/>
    </row>
    <row r="19" spans="2:5">
      <c r="B19" s="12" t="s">
        <v>16</v>
      </c>
      <c r="C19" t="s">
        <v>27</v>
      </c>
    </row>
    <row r="21" spans="2:5">
      <c r="B21" s="12" t="s">
        <v>313</v>
      </c>
      <c r="C21" s="14" t="s">
        <v>321</v>
      </c>
    </row>
    <row r="22" spans="2:5">
      <c r="B22" s="13" t="s">
        <v>22</v>
      </c>
      <c r="C22" s="14">
        <v>0</v>
      </c>
    </row>
    <row r="23" spans="2:5">
      <c r="B23" s="13" t="s">
        <v>26</v>
      </c>
      <c r="C23" s="14">
        <v>0</v>
      </c>
    </row>
    <row r="24" spans="2:5">
      <c r="B24" s="13" t="s">
        <v>18</v>
      </c>
      <c r="C24" s="14">
        <v>990</v>
      </c>
    </row>
    <row r="25" spans="2:5">
      <c r="B25" s="13" t="s">
        <v>314</v>
      </c>
      <c r="C25" s="14">
        <v>990</v>
      </c>
      <c r="E25" s="14">
        <f>GETPIVOTDATA("EA Play Season Pass
Price",$B$21)</f>
        <v>990</v>
      </c>
    </row>
    <row r="26" spans="2:5">
      <c r="C26"/>
    </row>
    <row r="27" spans="2:5">
      <c r="C27"/>
    </row>
    <row r="28" spans="2:5">
      <c r="B28" t="s">
        <v>322</v>
      </c>
      <c r="C28"/>
    </row>
    <row r="29" spans="2:5">
      <c r="C29"/>
    </row>
    <row r="30" spans="2:5">
      <c r="B30" s="12" t="s">
        <v>16</v>
      </c>
      <c r="C30" t="s">
        <v>27</v>
      </c>
    </row>
    <row r="32" spans="2:5">
      <c r="B32" s="12" t="s">
        <v>313</v>
      </c>
      <c r="C32" s="14" t="s">
        <v>323</v>
      </c>
    </row>
    <row r="33" spans="2:5">
      <c r="B33" s="13" t="s">
        <v>22</v>
      </c>
      <c r="C33" s="14">
        <v>0</v>
      </c>
    </row>
    <row r="34" spans="2:5">
      <c r="B34" s="13" t="s">
        <v>26</v>
      </c>
      <c r="C34" s="14">
        <v>480</v>
      </c>
    </row>
    <row r="35" spans="2:5">
      <c r="B35" s="13" t="s">
        <v>18</v>
      </c>
      <c r="C35" s="14">
        <v>660</v>
      </c>
    </row>
    <row r="36" spans="2:5">
      <c r="B36" s="13" t="s">
        <v>314</v>
      </c>
      <c r="C36" s="14">
        <v>1140</v>
      </c>
    </row>
    <row r="37" spans="2:5">
      <c r="C37"/>
      <c r="E37" s="14">
        <f>GETPIVOTDATA("Minecraft Season Pass Price",$B$32)</f>
        <v>1140</v>
      </c>
    </row>
    <row r="38" spans="2:5">
      <c r="C38"/>
    </row>
    <row r="39" spans="2:5">
      <c r="C39"/>
    </row>
    <row r="40" spans="2:5">
      <c r="C40"/>
    </row>
    <row r="41" spans="2:5">
      <c r="C41"/>
    </row>
    <row r="42" spans="2:5">
      <c r="C42"/>
    </row>
    <row r="43" spans="2:5">
      <c r="C43"/>
    </row>
    <row r="44" spans="2:5">
      <c r="C44"/>
    </row>
    <row r="45" spans="2:5">
      <c r="C45"/>
    </row>
    <row r="46" spans="2:5">
      <c r="C46"/>
    </row>
    <row r="47" spans="2:5">
      <c r="C47"/>
    </row>
    <row r="48" spans="2:5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17"/>
  <sheetViews>
    <sheetView showGridLines="0" showRowColHeaders="0" tabSelected="1" zoomScale="80" zoomScaleNormal="80" workbookViewId="0">
      <selection activeCell="J4" sqref="J4"/>
    </sheetView>
  </sheetViews>
  <sheetFormatPr defaultRowHeight="13.8"/>
  <cols>
    <col min="1" max="1" width="24.8984375" style="18" customWidth="1"/>
    <col min="2" max="2" width="3.59765625" style="7" customWidth="1"/>
    <col min="3" max="11" width="8.796875" style="7"/>
    <col min="12" max="12" width="6.59765625" style="7" customWidth="1"/>
    <col min="13" max="16" width="8.796875" style="7"/>
    <col min="17" max="17" width="8.796875" style="7" customWidth="1"/>
    <col min="18" max="16384" width="8.796875" style="7"/>
  </cols>
  <sheetData>
    <row r="1" spans="1:17" customFormat="1">
      <c r="A1" s="18"/>
    </row>
    <row r="2" spans="1:17" customFormat="1" ht="29.4" customHeight="1" thickBot="1">
      <c r="A2" s="18"/>
      <c r="B2" s="15"/>
      <c r="C2" s="19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customFormat="1" ht="11.4" customHeight="1" thickTop="1">
      <c r="A3" s="18"/>
      <c r="B3" s="15"/>
    </row>
    <row r="4" spans="1:17" ht="16.8" customHeight="1"/>
    <row r="5" spans="1:17" ht="16.8" customHeight="1">
      <c r="C5" s="20" t="s">
        <v>324</v>
      </c>
      <c r="D5" s="20"/>
      <c r="E5" s="20"/>
      <c r="F5" s="20"/>
      <c r="G5" s="20"/>
      <c r="H5" s="20"/>
      <c r="I5" s="20"/>
    </row>
    <row r="6" spans="1:17" ht="16.8" customHeight="1"/>
    <row r="7" spans="1:17" ht="10.5" customHeight="1"/>
    <row r="8" spans="1:17" ht="9.75" customHeight="1"/>
    <row r="9" spans="1:17" ht="33" customHeight="1"/>
    <row r="17" spans="11:11">
      <c r="K17" s="1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Toshiro Yamaguti</cp:lastModifiedBy>
  <dcterms:created xsi:type="dcterms:W3CDTF">2024-12-19T13:13:10Z</dcterms:created>
  <dcterms:modified xsi:type="dcterms:W3CDTF">2026-07-20T14:28:23Z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